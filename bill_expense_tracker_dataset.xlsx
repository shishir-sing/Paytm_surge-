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esktop\Paytm Project\"/>
    </mc:Choice>
  </mc:AlternateContent>
  <xr:revisionPtr revIDLastSave="0" documentId="13_ncr:1_{A177618C-B135-4E22-A781-CAFE76BDA967}" xr6:coauthVersionLast="47" xr6:coauthVersionMax="47" xr10:uidLastSave="{00000000-0000-0000-0000-000000000000}"/>
  <bookViews>
    <workbookView xWindow="-98" yWindow="-98" windowWidth="21795" windowHeight="11625" tabRatio="500" activeTab="2" xr2:uid="{00000000-000D-0000-FFFF-FFFF00000000}"/>
  </bookViews>
  <sheets>
    <sheet name="Transactions" sheetId="2" r:id="rId1"/>
    <sheet name="Monthly_Summary" sheetId="3" r:id="rId2"/>
    <sheet name="Trend_Analysis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3" l="1"/>
  <c r="F9" i="4" s="1"/>
  <c r="F19" i="4" s="1"/>
  <c r="F9" i="3"/>
  <c r="E9" i="4" s="1"/>
  <c r="E19" i="4" s="1"/>
  <c r="E9" i="3"/>
  <c r="D9" i="4" s="1"/>
  <c r="D19" i="4" s="1"/>
  <c r="D9" i="3"/>
  <c r="C9" i="4" s="1"/>
  <c r="C19" i="4" s="1"/>
  <c r="C9" i="3"/>
  <c r="B9" i="4" s="1"/>
  <c r="B19" i="4" s="1"/>
  <c r="B9" i="3"/>
  <c r="G8" i="3"/>
  <c r="F8" i="4" s="1"/>
  <c r="F18" i="4" s="1"/>
  <c r="F8" i="3"/>
  <c r="E8" i="4" s="1"/>
  <c r="E18" i="4" s="1"/>
  <c r="E8" i="3"/>
  <c r="D8" i="4" s="1"/>
  <c r="D18" i="4" s="1"/>
  <c r="D8" i="3"/>
  <c r="C8" i="4" s="1"/>
  <c r="C18" i="4" s="1"/>
  <c r="C8" i="3"/>
  <c r="B8" i="4" s="1"/>
  <c r="B18" i="4" s="1"/>
  <c r="B8" i="3"/>
  <c r="G7" i="3"/>
  <c r="F7" i="4" s="1"/>
  <c r="F17" i="4" s="1"/>
  <c r="F7" i="3"/>
  <c r="E7" i="4" s="1"/>
  <c r="E17" i="4" s="1"/>
  <c r="E7" i="3"/>
  <c r="D7" i="4" s="1"/>
  <c r="D17" i="4" s="1"/>
  <c r="D7" i="3"/>
  <c r="C7" i="4" s="1"/>
  <c r="C17" i="4" s="1"/>
  <c r="C7" i="3"/>
  <c r="B7" i="4" s="1"/>
  <c r="B17" i="4" s="1"/>
  <c r="B7" i="3"/>
  <c r="G6" i="3"/>
  <c r="F6" i="4" s="1"/>
  <c r="F16" i="4" s="1"/>
  <c r="F6" i="3"/>
  <c r="E6" i="4" s="1"/>
  <c r="E16" i="4" s="1"/>
  <c r="E6" i="3"/>
  <c r="D6" i="4" s="1"/>
  <c r="D16" i="4" s="1"/>
  <c r="D6" i="3"/>
  <c r="C6" i="4" s="1"/>
  <c r="C16" i="4" s="1"/>
  <c r="C6" i="3"/>
  <c r="B6" i="4" s="1"/>
  <c r="B16" i="4" s="1"/>
  <c r="B6" i="3"/>
  <c r="G5" i="3"/>
  <c r="F5" i="4" s="1"/>
  <c r="F15" i="4" s="1"/>
  <c r="F5" i="3"/>
  <c r="E5" i="4" s="1"/>
  <c r="E15" i="4" s="1"/>
  <c r="E5" i="3"/>
  <c r="D5" i="4" s="1"/>
  <c r="D15" i="4" s="1"/>
  <c r="D5" i="3"/>
  <c r="C5" i="4" s="1"/>
  <c r="C15" i="4" s="1"/>
  <c r="C5" i="3"/>
  <c r="B5" i="4" s="1"/>
  <c r="B15" i="4" s="1"/>
  <c r="B5" i="3"/>
  <c r="G4" i="3"/>
  <c r="F4" i="4" s="1"/>
  <c r="F14" i="4" s="1"/>
  <c r="F4" i="3"/>
  <c r="E4" i="4" s="1"/>
  <c r="E14" i="4" s="1"/>
  <c r="E4" i="3"/>
  <c r="D4" i="4" s="1"/>
  <c r="D14" i="4" s="1"/>
  <c r="D4" i="3"/>
  <c r="C4" i="4" s="1"/>
  <c r="C14" i="4" s="1"/>
  <c r="C4" i="3"/>
  <c r="C10" i="3" s="1"/>
  <c r="B4" i="3"/>
  <c r="B10" i="3" s="1"/>
  <c r="D10" i="3" l="1"/>
  <c r="E10" i="3"/>
  <c r="F10" i="3"/>
  <c r="G10" i="3"/>
  <c r="B4" i="4"/>
  <c r="B14" i="4" s="1"/>
</calcChain>
</file>

<file path=xl/sharedStrings.xml><?xml version="1.0" encoding="utf-8"?>
<sst xmlns="http://schemas.openxmlformats.org/spreadsheetml/2006/main" count="155" uniqueCount="33">
  <si>
    <t>Txn ID</t>
  </si>
  <si>
    <t>Billing Month</t>
  </si>
  <si>
    <t>Category</t>
  </si>
  <si>
    <t>Biller Name</t>
  </si>
  <si>
    <t>Amount (INR)</t>
  </si>
  <si>
    <t>2026-03</t>
  </si>
  <si>
    <t>Electricity</t>
  </si>
  <si>
    <t>Tata Power</t>
  </si>
  <si>
    <t>Broadband</t>
  </si>
  <si>
    <t>Airtel Xstream</t>
  </si>
  <si>
    <t>DTH/Cable</t>
  </si>
  <si>
    <t>Tata Play</t>
  </si>
  <si>
    <t>OTT Subscriptions</t>
  </si>
  <si>
    <t>Netflix+Prime+Hotstar</t>
  </si>
  <si>
    <t>Gas</t>
  </si>
  <si>
    <t>Indraprastha Gas</t>
  </si>
  <si>
    <t>Mobile Recharge</t>
  </si>
  <si>
    <t>Jio</t>
  </si>
  <si>
    <t>2026-04</t>
  </si>
  <si>
    <t>2026-05</t>
  </si>
  <si>
    <t>2026-06</t>
  </si>
  <si>
    <t>2026-07</t>
  </si>
  <si>
    <t>2026-08</t>
  </si>
  <si>
    <t>Blue = hardcoded input (mock data). Edit these values freely to test how downstream sheets react.</t>
  </si>
  <si>
    <t>Monthly Spend by Category (INR)</t>
  </si>
  <si>
    <t>Total</t>
  </si>
  <si>
    <t>Month-over-Month % Change + Surge Alerts</t>
  </si>
  <si>
    <t>2026-04 vs prior</t>
  </si>
  <si>
    <t>2026-05 vs prior</t>
  </si>
  <si>
    <t>2026-06 vs prior</t>
  </si>
  <si>
    <t>2026-07 vs prior</t>
  </si>
  <si>
    <t>2026-08 vs prior</t>
  </si>
  <si>
    <t>Surge Flags (&gt;20% MoM change)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</si>
</sst>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i/>
      <sz val="9"/>
      <color rgb="FF808080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5" fillId="0" borderId="0" xfId="0" applyFont="1"/>
    <xf numFmtId="0" fontId="2" fillId="0" borderId="1" xfId="0" applyFont="1" applyBorder="1"/>
    <xf numFmtId="164" fontId="6" fillId="0" borderId="1" xfId="0" applyNumberFormat="1" applyFont="1" applyBorder="1"/>
    <xf numFmtId="0" fontId="2" fillId="0" borderId="0" xfId="0" applyFont="1"/>
    <xf numFmtId="164" fontId="2" fillId="0" borderId="1" xfId="0" applyNumberFormat="1" applyFont="1" applyBorder="1"/>
    <xf numFmtId="165" fontId="6" fillId="0" borderId="1" xfId="0" applyNumberFormat="1" applyFont="1" applyBorder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zoomScaleNormal="100" workbookViewId="0"/>
  </sheetViews>
  <sheetFormatPr defaultColWidth="8.6640625" defaultRowHeight="14.25" x14ac:dyDescent="0.45"/>
  <cols>
    <col min="1" max="1" width="10" customWidth="1"/>
    <col min="2" max="2" width="15" customWidth="1"/>
    <col min="3" max="3" width="20" customWidth="1"/>
    <col min="4" max="4" width="24" customWidth="1"/>
    <col min="5" max="5" width="14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3">
        <v>1000</v>
      </c>
      <c r="B2" s="3" t="s">
        <v>5</v>
      </c>
      <c r="C2" s="3" t="s">
        <v>6</v>
      </c>
      <c r="D2" s="3" t="s">
        <v>7</v>
      </c>
      <c r="E2" s="4">
        <v>1727</v>
      </c>
    </row>
    <row r="3" spans="1:5" x14ac:dyDescent="0.45">
      <c r="A3" s="3">
        <v>1001</v>
      </c>
      <c r="B3" s="3" t="s">
        <v>5</v>
      </c>
      <c r="C3" s="3" t="s">
        <v>8</v>
      </c>
      <c r="D3" s="3" t="s">
        <v>9</v>
      </c>
      <c r="E3" s="4">
        <v>814</v>
      </c>
    </row>
    <row r="4" spans="1:5" x14ac:dyDescent="0.45">
      <c r="A4" s="3">
        <v>1002</v>
      </c>
      <c r="B4" s="3" t="s">
        <v>5</v>
      </c>
      <c r="C4" s="3" t="s">
        <v>10</v>
      </c>
      <c r="D4" s="3" t="s">
        <v>11</v>
      </c>
      <c r="E4" s="4">
        <v>351</v>
      </c>
    </row>
    <row r="5" spans="1:5" x14ac:dyDescent="0.45">
      <c r="A5" s="3">
        <v>1003</v>
      </c>
      <c r="B5" s="3" t="s">
        <v>5</v>
      </c>
      <c r="C5" s="3" t="s">
        <v>12</v>
      </c>
      <c r="D5" s="3" t="s">
        <v>13</v>
      </c>
      <c r="E5" s="4">
        <v>1089</v>
      </c>
    </row>
    <row r="6" spans="1:5" x14ac:dyDescent="0.45">
      <c r="A6" s="3">
        <v>1004</v>
      </c>
      <c r="B6" s="3" t="s">
        <v>5</v>
      </c>
      <c r="C6" s="3" t="s">
        <v>14</v>
      </c>
      <c r="D6" s="3" t="s">
        <v>15</v>
      </c>
      <c r="E6" s="4">
        <v>670</v>
      </c>
    </row>
    <row r="7" spans="1:5" x14ac:dyDescent="0.45">
      <c r="A7" s="3">
        <v>1005</v>
      </c>
      <c r="B7" s="3" t="s">
        <v>5</v>
      </c>
      <c r="C7" s="3" t="s">
        <v>16</v>
      </c>
      <c r="D7" s="3" t="s">
        <v>17</v>
      </c>
      <c r="E7" s="4">
        <v>415</v>
      </c>
    </row>
    <row r="8" spans="1:5" x14ac:dyDescent="0.45">
      <c r="A8" s="3">
        <v>1006</v>
      </c>
      <c r="B8" s="3" t="s">
        <v>18</v>
      </c>
      <c r="C8" s="3" t="s">
        <v>6</v>
      </c>
      <c r="D8" s="3" t="s">
        <v>7</v>
      </c>
      <c r="E8" s="4">
        <v>1514</v>
      </c>
    </row>
    <row r="9" spans="1:5" x14ac:dyDescent="0.45">
      <c r="A9" s="3">
        <v>1007</v>
      </c>
      <c r="B9" s="3" t="s">
        <v>18</v>
      </c>
      <c r="C9" s="3" t="s">
        <v>8</v>
      </c>
      <c r="D9" s="3" t="s">
        <v>9</v>
      </c>
      <c r="E9" s="4">
        <v>817</v>
      </c>
    </row>
    <row r="10" spans="1:5" x14ac:dyDescent="0.45">
      <c r="A10" s="3">
        <v>1008</v>
      </c>
      <c r="B10" s="3" t="s">
        <v>18</v>
      </c>
      <c r="C10" s="3" t="s">
        <v>10</v>
      </c>
      <c r="D10" s="3" t="s">
        <v>11</v>
      </c>
      <c r="E10" s="4">
        <v>397</v>
      </c>
    </row>
    <row r="11" spans="1:5" x14ac:dyDescent="0.45">
      <c r="A11" s="3">
        <v>1009</v>
      </c>
      <c r="B11" s="3" t="s">
        <v>18</v>
      </c>
      <c r="C11" s="3" t="s">
        <v>12</v>
      </c>
      <c r="D11" s="3" t="s">
        <v>13</v>
      </c>
      <c r="E11" s="4">
        <v>926</v>
      </c>
    </row>
    <row r="12" spans="1:5" x14ac:dyDescent="0.45">
      <c r="A12" s="3">
        <v>1010</v>
      </c>
      <c r="B12" s="3" t="s">
        <v>18</v>
      </c>
      <c r="C12" s="3" t="s">
        <v>14</v>
      </c>
      <c r="D12" s="3" t="s">
        <v>15</v>
      </c>
      <c r="E12" s="4">
        <v>739</v>
      </c>
    </row>
    <row r="13" spans="1:5" x14ac:dyDescent="0.45">
      <c r="A13" s="3">
        <v>1011</v>
      </c>
      <c r="B13" s="3" t="s">
        <v>18</v>
      </c>
      <c r="C13" s="3" t="s">
        <v>16</v>
      </c>
      <c r="D13" s="3" t="s">
        <v>17</v>
      </c>
      <c r="E13" s="4">
        <v>405</v>
      </c>
    </row>
    <row r="14" spans="1:5" x14ac:dyDescent="0.45">
      <c r="A14" s="3">
        <v>1012</v>
      </c>
      <c r="B14" s="3" t="s">
        <v>19</v>
      </c>
      <c r="C14" s="3" t="s">
        <v>6</v>
      </c>
      <c r="D14" s="3" t="s">
        <v>7</v>
      </c>
      <c r="E14" s="4">
        <v>1702</v>
      </c>
    </row>
    <row r="15" spans="1:5" x14ac:dyDescent="0.45">
      <c r="A15" s="3">
        <v>1013</v>
      </c>
      <c r="B15" s="3" t="s">
        <v>19</v>
      </c>
      <c r="C15" s="3" t="s">
        <v>8</v>
      </c>
      <c r="D15" s="3" t="s">
        <v>9</v>
      </c>
      <c r="E15" s="4">
        <v>854</v>
      </c>
    </row>
    <row r="16" spans="1:5" x14ac:dyDescent="0.45">
      <c r="A16" s="3">
        <v>1014</v>
      </c>
      <c r="B16" s="3" t="s">
        <v>19</v>
      </c>
      <c r="C16" s="3" t="s">
        <v>10</v>
      </c>
      <c r="D16" s="3" t="s">
        <v>11</v>
      </c>
      <c r="E16" s="4">
        <v>352</v>
      </c>
    </row>
    <row r="17" spans="1:5" x14ac:dyDescent="0.45">
      <c r="A17" s="3">
        <v>1015</v>
      </c>
      <c r="B17" s="3" t="s">
        <v>19</v>
      </c>
      <c r="C17" s="3" t="s">
        <v>12</v>
      </c>
      <c r="D17" s="3" t="s">
        <v>13</v>
      </c>
      <c r="E17" s="4">
        <v>907</v>
      </c>
    </row>
    <row r="18" spans="1:5" x14ac:dyDescent="0.45">
      <c r="A18" s="3">
        <v>1016</v>
      </c>
      <c r="B18" s="3" t="s">
        <v>19</v>
      </c>
      <c r="C18" s="3" t="s">
        <v>14</v>
      </c>
      <c r="D18" s="3" t="s">
        <v>15</v>
      </c>
      <c r="E18" s="4">
        <v>623</v>
      </c>
    </row>
    <row r="19" spans="1:5" x14ac:dyDescent="0.45">
      <c r="A19" s="3">
        <v>1017</v>
      </c>
      <c r="B19" s="3" t="s">
        <v>19</v>
      </c>
      <c r="C19" s="3" t="s">
        <v>16</v>
      </c>
      <c r="D19" s="3" t="s">
        <v>17</v>
      </c>
      <c r="E19" s="4">
        <v>413</v>
      </c>
    </row>
    <row r="20" spans="1:5" x14ac:dyDescent="0.45">
      <c r="A20" s="3">
        <v>1018</v>
      </c>
      <c r="B20" s="3" t="s">
        <v>20</v>
      </c>
      <c r="C20" s="3" t="s">
        <v>6</v>
      </c>
      <c r="D20" s="3" t="s">
        <v>7</v>
      </c>
      <c r="E20" s="4">
        <v>1519</v>
      </c>
    </row>
    <row r="21" spans="1:5" x14ac:dyDescent="0.45">
      <c r="A21" s="3">
        <v>1019</v>
      </c>
      <c r="B21" s="3" t="s">
        <v>20</v>
      </c>
      <c r="C21" s="3" t="s">
        <v>8</v>
      </c>
      <c r="D21" s="3" t="s">
        <v>9</v>
      </c>
      <c r="E21" s="4">
        <v>864</v>
      </c>
    </row>
    <row r="22" spans="1:5" x14ac:dyDescent="0.45">
      <c r="A22" s="3">
        <v>1020</v>
      </c>
      <c r="B22" s="3" t="s">
        <v>20</v>
      </c>
      <c r="C22" s="3" t="s">
        <v>10</v>
      </c>
      <c r="D22" s="3" t="s">
        <v>11</v>
      </c>
      <c r="E22" s="4">
        <v>388</v>
      </c>
    </row>
    <row r="23" spans="1:5" x14ac:dyDescent="0.45">
      <c r="A23" s="3">
        <v>1021</v>
      </c>
      <c r="B23" s="3" t="s">
        <v>20</v>
      </c>
      <c r="C23" s="3" t="s">
        <v>12</v>
      </c>
      <c r="D23" s="3" t="s">
        <v>13</v>
      </c>
      <c r="E23" s="4">
        <v>1268</v>
      </c>
    </row>
    <row r="24" spans="1:5" x14ac:dyDescent="0.45">
      <c r="A24" s="3">
        <v>1022</v>
      </c>
      <c r="B24" s="3" t="s">
        <v>20</v>
      </c>
      <c r="C24" s="3" t="s">
        <v>14</v>
      </c>
      <c r="D24" s="3" t="s">
        <v>15</v>
      </c>
      <c r="E24" s="4">
        <v>743</v>
      </c>
    </row>
    <row r="25" spans="1:5" x14ac:dyDescent="0.45">
      <c r="A25" s="3">
        <v>1023</v>
      </c>
      <c r="B25" s="3" t="s">
        <v>20</v>
      </c>
      <c r="C25" s="3" t="s">
        <v>16</v>
      </c>
      <c r="D25" s="3" t="s">
        <v>17</v>
      </c>
      <c r="E25" s="4">
        <v>412</v>
      </c>
    </row>
    <row r="26" spans="1:5" x14ac:dyDescent="0.45">
      <c r="A26" s="3">
        <v>1024</v>
      </c>
      <c r="B26" s="3" t="s">
        <v>21</v>
      </c>
      <c r="C26" s="3" t="s">
        <v>6</v>
      </c>
      <c r="D26" s="3" t="s">
        <v>7</v>
      </c>
      <c r="E26" s="4">
        <v>2737</v>
      </c>
    </row>
    <row r="27" spans="1:5" x14ac:dyDescent="0.45">
      <c r="A27" s="3">
        <v>1025</v>
      </c>
      <c r="B27" s="3" t="s">
        <v>21</v>
      </c>
      <c r="C27" s="3" t="s">
        <v>8</v>
      </c>
      <c r="D27" s="3" t="s">
        <v>9</v>
      </c>
      <c r="E27" s="4">
        <v>883</v>
      </c>
    </row>
    <row r="28" spans="1:5" x14ac:dyDescent="0.45">
      <c r="A28" s="3">
        <v>1026</v>
      </c>
      <c r="B28" s="3" t="s">
        <v>21</v>
      </c>
      <c r="C28" s="3" t="s">
        <v>10</v>
      </c>
      <c r="D28" s="3" t="s">
        <v>11</v>
      </c>
      <c r="E28" s="4">
        <v>394</v>
      </c>
    </row>
    <row r="29" spans="1:5" x14ac:dyDescent="0.45">
      <c r="A29" s="3">
        <v>1027</v>
      </c>
      <c r="B29" s="3" t="s">
        <v>21</v>
      </c>
      <c r="C29" s="3" t="s">
        <v>12</v>
      </c>
      <c r="D29" s="3" t="s">
        <v>13</v>
      </c>
      <c r="E29" s="4">
        <v>1039</v>
      </c>
    </row>
    <row r="30" spans="1:5" x14ac:dyDescent="0.45">
      <c r="A30" s="3">
        <v>1028</v>
      </c>
      <c r="B30" s="3" t="s">
        <v>21</v>
      </c>
      <c r="C30" s="3" t="s">
        <v>14</v>
      </c>
      <c r="D30" s="3" t="s">
        <v>15</v>
      </c>
      <c r="E30" s="4">
        <v>707</v>
      </c>
    </row>
    <row r="31" spans="1:5" x14ac:dyDescent="0.45">
      <c r="A31" s="3">
        <v>1029</v>
      </c>
      <c r="B31" s="3" t="s">
        <v>21</v>
      </c>
      <c r="C31" s="3" t="s">
        <v>16</v>
      </c>
      <c r="D31" s="3" t="s">
        <v>17</v>
      </c>
      <c r="E31" s="4">
        <v>414</v>
      </c>
    </row>
    <row r="32" spans="1:5" x14ac:dyDescent="0.45">
      <c r="A32" s="3">
        <v>1030</v>
      </c>
      <c r="B32" s="3" t="s">
        <v>22</v>
      </c>
      <c r="C32" s="3" t="s">
        <v>6</v>
      </c>
      <c r="D32" s="3" t="s">
        <v>7</v>
      </c>
      <c r="E32" s="4">
        <v>1629</v>
      </c>
    </row>
    <row r="33" spans="1:5" x14ac:dyDescent="0.45">
      <c r="A33" s="3">
        <v>1031</v>
      </c>
      <c r="B33" s="3" t="s">
        <v>22</v>
      </c>
      <c r="C33" s="3" t="s">
        <v>8</v>
      </c>
      <c r="D33" s="3" t="s">
        <v>9</v>
      </c>
      <c r="E33" s="4">
        <v>875</v>
      </c>
    </row>
    <row r="34" spans="1:5" x14ac:dyDescent="0.45">
      <c r="A34" s="3">
        <v>1032</v>
      </c>
      <c r="B34" s="3" t="s">
        <v>22</v>
      </c>
      <c r="C34" s="3" t="s">
        <v>10</v>
      </c>
      <c r="D34" s="3" t="s">
        <v>11</v>
      </c>
      <c r="E34" s="4">
        <v>367</v>
      </c>
    </row>
    <row r="35" spans="1:5" x14ac:dyDescent="0.45">
      <c r="A35" s="3">
        <v>1033</v>
      </c>
      <c r="B35" s="3" t="s">
        <v>22</v>
      </c>
      <c r="C35" s="3" t="s">
        <v>12</v>
      </c>
      <c r="D35" s="3" t="s">
        <v>13</v>
      </c>
      <c r="E35" s="4">
        <v>901</v>
      </c>
    </row>
    <row r="36" spans="1:5" x14ac:dyDescent="0.45">
      <c r="A36" s="3">
        <v>1034</v>
      </c>
      <c r="B36" s="3" t="s">
        <v>22</v>
      </c>
      <c r="C36" s="3" t="s">
        <v>14</v>
      </c>
      <c r="D36" s="3" t="s">
        <v>15</v>
      </c>
      <c r="E36" s="4">
        <v>640</v>
      </c>
    </row>
    <row r="37" spans="1:5" x14ac:dyDescent="0.45">
      <c r="A37" s="3">
        <v>1035</v>
      </c>
      <c r="B37" s="3" t="s">
        <v>22</v>
      </c>
      <c r="C37" s="3" t="s">
        <v>16</v>
      </c>
      <c r="D37" s="3" t="s">
        <v>17</v>
      </c>
      <c r="E37" s="4">
        <v>444</v>
      </c>
    </row>
    <row r="39" spans="1:5" x14ac:dyDescent="0.45">
      <c r="A39" s="5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zoomScaleNormal="100" workbookViewId="0">
      <selection activeCell="I12" sqref="A12:I12"/>
    </sheetView>
  </sheetViews>
  <sheetFormatPr defaultColWidth="8.6640625" defaultRowHeight="14.25" x14ac:dyDescent="0.45"/>
  <cols>
    <col min="1" max="1" width="20" customWidth="1"/>
    <col min="2" max="7" width="13" customWidth="1"/>
  </cols>
  <sheetData>
    <row r="1" spans="1:7" ht="17.649999999999999" x14ac:dyDescent="0.5">
      <c r="A1" s="1" t="s">
        <v>24</v>
      </c>
    </row>
    <row r="3" spans="1:7" x14ac:dyDescent="0.45">
      <c r="A3" s="2" t="s">
        <v>2</v>
      </c>
      <c r="B3" s="2" t="s">
        <v>5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</row>
    <row r="4" spans="1:7" x14ac:dyDescent="0.45">
      <c r="A4" s="6" t="s">
        <v>6</v>
      </c>
      <c r="B4" s="7">
        <f>SUMIFS(Transactions!$E$2:$E$37,Transactions!$C$2:$C$37,$A4,Transactions!$B$2:$B$37,B$3)</f>
        <v>1727</v>
      </c>
      <c r="C4" s="7">
        <f>SUMIFS(Transactions!$E$2:$E$37,Transactions!$C$2:$C$37,$A4,Transactions!$B$2:$B$37,C$3)</f>
        <v>1514</v>
      </c>
      <c r="D4" s="7">
        <f>SUMIFS(Transactions!$E$2:$E$37,Transactions!$C$2:$C$37,$A4,Transactions!$B$2:$B$37,D$3)</f>
        <v>1702</v>
      </c>
      <c r="E4" s="7">
        <f>SUMIFS(Transactions!$E$2:$E$37,Transactions!$C$2:$C$37,$A4,Transactions!$B$2:$B$37,E$3)</f>
        <v>1519</v>
      </c>
      <c r="F4" s="7">
        <f>SUMIFS(Transactions!$E$2:$E$37,Transactions!$C$2:$C$37,$A4,Transactions!$B$2:$B$37,F$3)</f>
        <v>2737</v>
      </c>
      <c r="G4" s="7">
        <f>SUMIFS(Transactions!$E$2:$E$37,Transactions!$C$2:$C$37,$A4,Transactions!$B$2:$B$37,G$3)</f>
        <v>1629</v>
      </c>
    </row>
    <row r="5" spans="1:7" x14ac:dyDescent="0.45">
      <c r="A5" s="6" t="s">
        <v>8</v>
      </c>
      <c r="B5" s="7">
        <f>SUMIFS(Transactions!$E$2:$E$37,Transactions!$C$2:$C$37,$A5,Transactions!$B$2:$B$37,B$3)</f>
        <v>814</v>
      </c>
      <c r="C5" s="7">
        <f>SUMIFS(Transactions!$E$2:$E$37,Transactions!$C$2:$C$37,$A5,Transactions!$B$2:$B$37,C$3)</f>
        <v>817</v>
      </c>
      <c r="D5" s="7">
        <f>SUMIFS(Transactions!$E$2:$E$37,Transactions!$C$2:$C$37,$A5,Transactions!$B$2:$B$37,D$3)</f>
        <v>854</v>
      </c>
      <c r="E5" s="7">
        <f>SUMIFS(Transactions!$E$2:$E$37,Transactions!$C$2:$C$37,$A5,Transactions!$B$2:$B$37,E$3)</f>
        <v>864</v>
      </c>
      <c r="F5" s="7">
        <f>SUMIFS(Transactions!$E$2:$E$37,Transactions!$C$2:$C$37,$A5,Transactions!$B$2:$B$37,F$3)</f>
        <v>883</v>
      </c>
      <c r="G5" s="7">
        <f>SUMIFS(Transactions!$E$2:$E$37,Transactions!$C$2:$C$37,$A5,Transactions!$B$2:$B$37,G$3)</f>
        <v>875</v>
      </c>
    </row>
    <row r="6" spans="1:7" x14ac:dyDescent="0.45">
      <c r="A6" s="6" t="s">
        <v>10</v>
      </c>
      <c r="B6" s="7">
        <f>SUMIFS(Transactions!$E$2:$E$37,Transactions!$C$2:$C$37,$A6,Transactions!$B$2:$B$37,B$3)</f>
        <v>351</v>
      </c>
      <c r="C6" s="7">
        <f>SUMIFS(Transactions!$E$2:$E$37,Transactions!$C$2:$C$37,$A6,Transactions!$B$2:$B$37,C$3)</f>
        <v>397</v>
      </c>
      <c r="D6" s="7">
        <f>SUMIFS(Transactions!$E$2:$E$37,Transactions!$C$2:$C$37,$A6,Transactions!$B$2:$B$37,D$3)</f>
        <v>352</v>
      </c>
      <c r="E6" s="7">
        <f>SUMIFS(Transactions!$E$2:$E$37,Transactions!$C$2:$C$37,$A6,Transactions!$B$2:$B$37,E$3)</f>
        <v>388</v>
      </c>
      <c r="F6" s="7">
        <f>SUMIFS(Transactions!$E$2:$E$37,Transactions!$C$2:$C$37,$A6,Transactions!$B$2:$B$37,F$3)</f>
        <v>394</v>
      </c>
      <c r="G6" s="7">
        <f>SUMIFS(Transactions!$E$2:$E$37,Transactions!$C$2:$C$37,$A6,Transactions!$B$2:$B$37,G$3)</f>
        <v>367</v>
      </c>
    </row>
    <row r="7" spans="1:7" x14ac:dyDescent="0.45">
      <c r="A7" s="6" t="s">
        <v>12</v>
      </c>
      <c r="B7" s="7">
        <f>SUMIFS(Transactions!$E$2:$E$37,Transactions!$C$2:$C$37,$A7,Transactions!$B$2:$B$37,B$3)</f>
        <v>1089</v>
      </c>
      <c r="C7" s="7">
        <f>SUMIFS(Transactions!$E$2:$E$37,Transactions!$C$2:$C$37,$A7,Transactions!$B$2:$B$37,C$3)</f>
        <v>926</v>
      </c>
      <c r="D7" s="7">
        <f>SUMIFS(Transactions!$E$2:$E$37,Transactions!$C$2:$C$37,$A7,Transactions!$B$2:$B$37,D$3)</f>
        <v>907</v>
      </c>
      <c r="E7" s="7">
        <f>SUMIFS(Transactions!$E$2:$E$37,Transactions!$C$2:$C$37,$A7,Transactions!$B$2:$B$37,E$3)</f>
        <v>1268</v>
      </c>
      <c r="F7" s="7">
        <f>SUMIFS(Transactions!$E$2:$E$37,Transactions!$C$2:$C$37,$A7,Transactions!$B$2:$B$37,F$3)</f>
        <v>1039</v>
      </c>
      <c r="G7" s="7">
        <f>SUMIFS(Transactions!$E$2:$E$37,Transactions!$C$2:$C$37,$A7,Transactions!$B$2:$B$37,G$3)</f>
        <v>901</v>
      </c>
    </row>
    <row r="8" spans="1:7" x14ac:dyDescent="0.45">
      <c r="A8" s="6" t="s">
        <v>14</v>
      </c>
      <c r="B8" s="7">
        <f>SUMIFS(Transactions!$E$2:$E$37,Transactions!$C$2:$C$37,$A8,Transactions!$B$2:$B$37,B$3)</f>
        <v>670</v>
      </c>
      <c r="C8" s="7">
        <f>SUMIFS(Transactions!$E$2:$E$37,Transactions!$C$2:$C$37,$A8,Transactions!$B$2:$B$37,C$3)</f>
        <v>739</v>
      </c>
      <c r="D8" s="7">
        <f>SUMIFS(Transactions!$E$2:$E$37,Transactions!$C$2:$C$37,$A8,Transactions!$B$2:$B$37,D$3)</f>
        <v>623</v>
      </c>
      <c r="E8" s="7">
        <f>SUMIFS(Transactions!$E$2:$E$37,Transactions!$C$2:$C$37,$A8,Transactions!$B$2:$B$37,E$3)</f>
        <v>743</v>
      </c>
      <c r="F8" s="7">
        <f>SUMIFS(Transactions!$E$2:$E$37,Transactions!$C$2:$C$37,$A8,Transactions!$B$2:$B$37,F$3)</f>
        <v>707</v>
      </c>
      <c r="G8" s="7">
        <f>SUMIFS(Transactions!$E$2:$E$37,Transactions!$C$2:$C$37,$A8,Transactions!$B$2:$B$37,G$3)</f>
        <v>640</v>
      </c>
    </row>
    <row r="9" spans="1:7" x14ac:dyDescent="0.45">
      <c r="A9" s="6" t="s">
        <v>16</v>
      </c>
      <c r="B9" s="7">
        <f>SUMIFS(Transactions!$E$2:$E$37,Transactions!$C$2:$C$37,$A9,Transactions!$B$2:$B$37,B$3)</f>
        <v>415</v>
      </c>
      <c r="C9" s="7">
        <f>SUMIFS(Transactions!$E$2:$E$37,Transactions!$C$2:$C$37,$A9,Transactions!$B$2:$B$37,C$3)</f>
        <v>405</v>
      </c>
      <c r="D9" s="7">
        <f>SUMIFS(Transactions!$E$2:$E$37,Transactions!$C$2:$C$37,$A9,Transactions!$B$2:$B$37,D$3)</f>
        <v>413</v>
      </c>
      <c r="E9" s="7">
        <f>SUMIFS(Transactions!$E$2:$E$37,Transactions!$C$2:$C$37,$A9,Transactions!$B$2:$B$37,E$3)</f>
        <v>412</v>
      </c>
      <c r="F9" s="7">
        <f>SUMIFS(Transactions!$E$2:$E$37,Transactions!$C$2:$C$37,$A9,Transactions!$B$2:$B$37,F$3)</f>
        <v>414</v>
      </c>
      <c r="G9" s="7">
        <f>SUMIFS(Transactions!$E$2:$E$37,Transactions!$C$2:$C$37,$A9,Transactions!$B$2:$B$37,G$3)</f>
        <v>444</v>
      </c>
    </row>
    <row r="10" spans="1:7" x14ac:dyDescent="0.45">
      <c r="A10" s="8" t="s">
        <v>25</v>
      </c>
      <c r="B10" s="9">
        <f t="shared" ref="B10:G10" si="0">SUM(B4:B9)</f>
        <v>5066</v>
      </c>
      <c r="C10" s="9">
        <f t="shared" si="0"/>
        <v>4798</v>
      </c>
      <c r="D10" s="9">
        <f t="shared" si="0"/>
        <v>4851</v>
      </c>
      <c r="E10" s="9">
        <f t="shared" si="0"/>
        <v>5194</v>
      </c>
      <c r="F10" s="9">
        <f t="shared" si="0"/>
        <v>6174</v>
      </c>
      <c r="G10" s="9">
        <f t="shared" si="0"/>
        <v>4856</v>
      </c>
    </row>
    <row r="12" spans="1:7" x14ac:dyDescent="0.45">
      <c r="A12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tabSelected="1" zoomScaleNormal="100" workbookViewId="0">
      <selection activeCell="C25" sqref="C25"/>
    </sheetView>
  </sheetViews>
  <sheetFormatPr defaultColWidth="8.6640625" defaultRowHeight="14.25" x14ac:dyDescent="0.45"/>
  <cols>
    <col min="1" max="1" width="20" customWidth="1"/>
    <col min="2" max="6" width="14" customWidth="1"/>
  </cols>
  <sheetData>
    <row r="1" spans="1:6" ht="17.649999999999999" x14ac:dyDescent="0.5">
      <c r="A1" s="1" t="s">
        <v>26</v>
      </c>
    </row>
    <row r="3" spans="1:6" ht="27.75" x14ac:dyDescent="0.45">
      <c r="A3" s="2" t="s">
        <v>2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</row>
    <row r="4" spans="1:6" x14ac:dyDescent="0.45">
      <c r="A4" s="6" t="s">
        <v>6</v>
      </c>
      <c r="B4" s="10">
        <f>IFERROR((Monthly_Summary!C4-Monthly_Summary!B4)/Monthly_Summary!B4,0)</f>
        <v>-0.123335263462652</v>
      </c>
      <c r="C4" s="10">
        <f>IFERROR((Monthly_Summary!D4-Monthly_Summary!C4)/Monthly_Summary!C4,0)</f>
        <v>0.12417437252311757</v>
      </c>
      <c r="D4" s="10">
        <f>IFERROR((Monthly_Summary!E4-Monthly_Summary!D4)/Monthly_Summary!D4,0)</f>
        <v>-0.10752056404230317</v>
      </c>
      <c r="E4" s="10">
        <f>IFERROR((Monthly_Summary!F4-Monthly_Summary!E4)/Monthly_Summary!E4,0)</f>
        <v>0.8018433179723502</v>
      </c>
      <c r="F4" s="10">
        <f>IFERROR((Monthly_Summary!G4-Monthly_Summary!F4)/Monthly_Summary!F4,0)</f>
        <v>-0.40482279868469129</v>
      </c>
    </row>
    <row r="5" spans="1:6" x14ac:dyDescent="0.45">
      <c r="A5" s="6" t="s">
        <v>8</v>
      </c>
      <c r="B5" s="10">
        <f>IFERROR((Monthly_Summary!C5-Monthly_Summary!B5)/Monthly_Summary!B5,0)</f>
        <v>3.6855036855036856E-3</v>
      </c>
      <c r="C5" s="10">
        <f>IFERROR((Monthly_Summary!D5-Monthly_Summary!C5)/Monthly_Summary!C5,0)</f>
        <v>4.528763769889841E-2</v>
      </c>
      <c r="D5" s="10">
        <f>IFERROR((Monthly_Summary!E5-Monthly_Summary!D5)/Monthly_Summary!D5,0)</f>
        <v>1.1709601873536301E-2</v>
      </c>
      <c r="E5" s="10">
        <f>IFERROR((Monthly_Summary!F5-Monthly_Summary!E5)/Monthly_Summary!E5,0)</f>
        <v>2.1990740740740741E-2</v>
      </c>
      <c r="F5" s="10">
        <f>IFERROR((Monthly_Summary!G5-Monthly_Summary!F5)/Monthly_Summary!F5,0)</f>
        <v>-9.0600226500566258E-3</v>
      </c>
    </row>
    <row r="6" spans="1:6" x14ac:dyDescent="0.45">
      <c r="A6" s="6" t="s">
        <v>10</v>
      </c>
      <c r="B6" s="10">
        <f>IFERROR((Monthly_Summary!C6-Monthly_Summary!B6)/Monthly_Summary!B6,0)</f>
        <v>0.13105413105413105</v>
      </c>
      <c r="C6" s="10">
        <f>IFERROR((Monthly_Summary!D6-Monthly_Summary!C6)/Monthly_Summary!C6,0)</f>
        <v>-0.11335012594458438</v>
      </c>
      <c r="D6" s="10">
        <f>IFERROR((Monthly_Summary!E6-Monthly_Summary!D6)/Monthly_Summary!D6,0)</f>
        <v>0.10227272727272728</v>
      </c>
      <c r="E6" s="10">
        <f>IFERROR((Monthly_Summary!F6-Monthly_Summary!E6)/Monthly_Summary!E6,0)</f>
        <v>1.5463917525773196E-2</v>
      </c>
      <c r="F6" s="10">
        <f>IFERROR((Monthly_Summary!G6-Monthly_Summary!F6)/Monthly_Summary!F6,0)</f>
        <v>-6.8527918781725886E-2</v>
      </c>
    </row>
    <row r="7" spans="1:6" x14ac:dyDescent="0.45">
      <c r="A7" s="6" t="s">
        <v>12</v>
      </c>
      <c r="B7" s="10">
        <f>IFERROR((Monthly_Summary!C7-Monthly_Summary!B7)/Monthly_Summary!B7,0)</f>
        <v>-0.14967860422405876</v>
      </c>
      <c r="C7" s="10">
        <f>IFERROR((Monthly_Summary!D7-Monthly_Summary!C7)/Monthly_Summary!C7,0)</f>
        <v>-2.0518358531317494E-2</v>
      </c>
      <c r="D7" s="10">
        <f>IFERROR((Monthly_Summary!E7-Monthly_Summary!D7)/Monthly_Summary!D7,0)</f>
        <v>0.3980154355016538</v>
      </c>
      <c r="E7" s="10">
        <f>IFERROR((Monthly_Summary!F7-Monthly_Summary!E7)/Monthly_Summary!E7,0)</f>
        <v>-0.18059936908517349</v>
      </c>
      <c r="F7" s="10">
        <f>IFERROR((Monthly_Summary!G7-Monthly_Summary!F7)/Monthly_Summary!F7,0)</f>
        <v>-0.13282001924927817</v>
      </c>
    </row>
    <row r="8" spans="1:6" x14ac:dyDescent="0.45">
      <c r="A8" s="6" t="s">
        <v>14</v>
      </c>
      <c r="B8" s="10">
        <f>IFERROR((Monthly_Summary!C8-Monthly_Summary!B8)/Monthly_Summary!B8,0)</f>
        <v>0.10298507462686567</v>
      </c>
      <c r="C8" s="10">
        <f>IFERROR((Monthly_Summary!D8-Monthly_Summary!C8)/Monthly_Summary!C8,0)</f>
        <v>-0.15696887686062247</v>
      </c>
      <c r="D8" s="10">
        <f>IFERROR((Monthly_Summary!E8-Monthly_Summary!D8)/Monthly_Summary!D8,0)</f>
        <v>0.1926163723916533</v>
      </c>
      <c r="E8" s="10">
        <f>IFERROR((Monthly_Summary!F8-Monthly_Summary!E8)/Monthly_Summary!E8,0)</f>
        <v>-4.8452220726783311E-2</v>
      </c>
      <c r="F8" s="10">
        <f>IFERROR((Monthly_Summary!G8-Monthly_Summary!F8)/Monthly_Summary!F8,0)</f>
        <v>-9.4766619519094764E-2</v>
      </c>
    </row>
    <row r="9" spans="1:6" x14ac:dyDescent="0.45">
      <c r="A9" s="6" t="s">
        <v>16</v>
      </c>
      <c r="B9" s="10">
        <f>IFERROR((Monthly_Summary!C9-Monthly_Summary!B9)/Monthly_Summary!B9,0)</f>
        <v>-2.4096385542168676E-2</v>
      </c>
      <c r="C9" s="10">
        <f>IFERROR((Monthly_Summary!D9-Monthly_Summary!C9)/Monthly_Summary!C9,0)</f>
        <v>1.9753086419753086E-2</v>
      </c>
      <c r="D9" s="10">
        <f>IFERROR((Monthly_Summary!E9-Monthly_Summary!D9)/Monthly_Summary!D9,0)</f>
        <v>-2.4213075060532689E-3</v>
      </c>
      <c r="E9" s="10">
        <f>IFERROR((Monthly_Summary!F9-Monthly_Summary!E9)/Monthly_Summary!E9,0)</f>
        <v>4.8543689320388345E-3</v>
      </c>
      <c r="F9" s="10">
        <f>IFERROR((Monthly_Summary!G9-Monthly_Summary!F9)/Monthly_Summary!F9,0)</f>
        <v>7.2463768115942032E-2</v>
      </c>
    </row>
    <row r="12" spans="1:6" ht="17.649999999999999" x14ac:dyDescent="0.5">
      <c r="A12" s="1" t="s">
        <v>32</v>
      </c>
    </row>
    <row r="13" spans="1:6" x14ac:dyDescent="0.45">
      <c r="A13" s="2" t="s">
        <v>2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</row>
    <row r="14" spans="1:6" x14ac:dyDescent="0.45">
      <c r="A14" s="6" t="s">
        <v>6</v>
      </c>
      <c r="B14" s="11" t="str">
        <f t="shared" ref="B14:F19" si="0">IF(ABS(B4)&gt;0.2,"⚠ Surge","-")</f>
        <v>-</v>
      </c>
      <c r="C14" s="11" t="str">
        <f t="shared" si="0"/>
        <v>-</v>
      </c>
      <c r="D14" s="11" t="str">
        <f t="shared" si="0"/>
        <v>-</v>
      </c>
      <c r="E14" s="11" t="str">
        <f t="shared" si="0"/>
        <v>⚠ Surge</v>
      </c>
      <c r="F14" s="11" t="str">
        <f t="shared" si="0"/>
        <v>⚠ Surge</v>
      </c>
    </row>
    <row r="15" spans="1:6" x14ac:dyDescent="0.45">
      <c r="A15" s="6" t="s">
        <v>8</v>
      </c>
      <c r="B15" s="11" t="str">
        <f t="shared" si="0"/>
        <v>-</v>
      </c>
      <c r="C15" s="11" t="str">
        <f t="shared" si="0"/>
        <v>-</v>
      </c>
      <c r="D15" s="11" t="str">
        <f t="shared" si="0"/>
        <v>-</v>
      </c>
      <c r="E15" s="11" t="str">
        <f t="shared" si="0"/>
        <v>-</v>
      </c>
      <c r="F15" s="11" t="str">
        <f t="shared" si="0"/>
        <v>-</v>
      </c>
    </row>
    <row r="16" spans="1:6" x14ac:dyDescent="0.45">
      <c r="A16" s="6" t="s">
        <v>10</v>
      </c>
      <c r="B16" s="11" t="str">
        <f t="shared" si="0"/>
        <v>-</v>
      </c>
      <c r="C16" s="11" t="str">
        <f t="shared" si="0"/>
        <v>-</v>
      </c>
      <c r="D16" s="11" t="str">
        <f t="shared" si="0"/>
        <v>-</v>
      </c>
      <c r="E16" s="11" t="str">
        <f t="shared" si="0"/>
        <v>-</v>
      </c>
      <c r="F16" s="11" t="str">
        <f t="shared" si="0"/>
        <v>-</v>
      </c>
    </row>
    <row r="17" spans="1:11" x14ac:dyDescent="0.45">
      <c r="A17" s="6" t="s">
        <v>12</v>
      </c>
      <c r="B17" s="11" t="str">
        <f t="shared" si="0"/>
        <v>-</v>
      </c>
      <c r="C17" s="11" t="str">
        <f t="shared" si="0"/>
        <v>-</v>
      </c>
      <c r="D17" s="11" t="str">
        <f t="shared" si="0"/>
        <v>⚠ Surge</v>
      </c>
      <c r="E17" s="11" t="str">
        <f t="shared" si="0"/>
        <v>-</v>
      </c>
      <c r="F17" s="11" t="str">
        <f t="shared" si="0"/>
        <v>-</v>
      </c>
    </row>
    <row r="18" spans="1:11" x14ac:dyDescent="0.45">
      <c r="A18" s="6" t="s">
        <v>14</v>
      </c>
      <c r="B18" s="11" t="str">
        <f t="shared" si="0"/>
        <v>-</v>
      </c>
      <c r="C18" s="11" t="str">
        <f t="shared" si="0"/>
        <v>-</v>
      </c>
      <c r="D18" s="11" t="str">
        <f t="shared" si="0"/>
        <v>-</v>
      </c>
      <c r="E18" s="11" t="str">
        <f t="shared" si="0"/>
        <v>-</v>
      </c>
      <c r="F18" s="11" t="str">
        <f t="shared" si="0"/>
        <v>-</v>
      </c>
    </row>
    <row r="19" spans="1:11" x14ac:dyDescent="0.45">
      <c r="A19" s="6" t="s">
        <v>16</v>
      </c>
      <c r="B19" s="11" t="str">
        <f t="shared" si="0"/>
        <v>-</v>
      </c>
      <c r="C19" s="11" t="str">
        <f t="shared" si="0"/>
        <v>-</v>
      </c>
      <c r="D19" s="11" t="str">
        <f t="shared" si="0"/>
        <v>-</v>
      </c>
      <c r="E19" s="11" t="str">
        <f t="shared" si="0"/>
        <v>-</v>
      </c>
      <c r="F19" s="11" t="str">
        <f t="shared" si="0"/>
        <v>-</v>
      </c>
    </row>
    <row r="21" spans="1:11" x14ac:dyDescent="0.4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Monthly_Summary</vt:lpstr>
      <vt:lpstr>Trend_Analysis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Shishir Singh</cp:lastModifiedBy>
  <cp:revision>0</cp:revision>
  <dcterms:created xsi:type="dcterms:W3CDTF">2026-08-14T22:53:45Z</dcterms:created>
  <dcterms:modified xsi:type="dcterms:W3CDTF">2026-08-19T09:23:31Z</dcterms:modified>
  <dc:language>en-US</dc:language>
</cp:coreProperties>
</file>